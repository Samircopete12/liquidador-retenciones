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eglas" sheetId="3" state="visible" r:id="rId3"/>
    <sheet xmlns:r="http://schemas.openxmlformats.org/officeDocument/2006/relationships" name="Checklist" sheetId="4" state="visible" r:id="rId4"/>
    <sheet xmlns:r="http://schemas.openxmlformats.org/officeDocument/2006/relationships" name="Fuentes" sheetId="5" state="visible" r:id="rId5"/>
  </sheets>
  <definedNames>
    <definedName name="_xlnm._FilterDatabase" localSheetId="0" hidden="1">'Casos'!$A$4:$U$20</definedName>
    <definedName name="_xlnm._FilterDatabase" localSheetId="3" hidden="1">'Checklist'!$A$4:$G$20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0.00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5F6F7F"/>
      <sz val="10.5"/>
    </font>
    <font>
      <name val="Calibri"/>
      <b val="1"/>
      <color rgb="00FFFFFF"/>
      <sz val="9.300000000000001"/>
    </font>
    <font>
      <name val="Calibri"/>
      <color rgb="001F2933"/>
      <sz val="9.4"/>
    </font>
    <font>
      <name val="Calibri"/>
      <b val="1"/>
      <color rgb="001F7A5A"/>
      <sz val="9.5"/>
    </font>
    <font>
      <name val="Calibri"/>
      <i val="1"/>
      <color rgb="005F6F7F"/>
      <sz val="9"/>
    </font>
    <font>
      <name val="Calibri"/>
      <b val="1"/>
      <color rgb="00FFFFFF"/>
      <sz val="11"/>
    </font>
    <font>
      <name val="Calibri"/>
      <b val="1"/>
      <color rgb="0016324F"/>
      <sz val="10"/>
    </font>
    <font>
      <name val="Calibri"/>
      <b val="1"/>
      <color rgb="001F2933"/>
      <sz val="10"/>
    </font>
    <font>
      <name val="Calibri"/>
      <color rgb="005F6F7F"/>
      <sz val="9.5"/>
    </font>
    <font>
      <name val="Calibri"/>
      <color rgb="001F2933"/>
      <sz val="10"/>
    </font>
    <font>
      <name val="Calibri"/>
      <color rgb="001F2933"/>
      <sz val="9.80000000000000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3F6F9"/>
      </patternFill>
    </fill>
    <fill>
      <patternFill patternType="solid">
        <fgColor rgb="00E9F7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EA"/>
      </left>
      <right style="thin">
        <color rgb="00D9E2EA"/>
      </right>
      <top style="thin">
        <color rgb="00D9E2EA"/>
      </top>
      <bottom style="thin">
        <color rgb="00D9E2E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right" vertical="top"/>
    </xf>
    <xf numFmtId="10" fontId="4" fillId="0" borderId="1" applyAlignment="1" pivotButton="0" quotePrefix="0" xfId="0">
      <alignment horizontal="right" vertical="top"/>
    </xf>
    <xf numFmtId="165" fontId="4" fillId="0" borderId="1" applyAlignment="1" pivotButton="0" quotePrefix="0" xfId="0">
      <alignment horizontal="right" vertical="top"/>
    </xf>
    <xf numFmtId="164" fontId="5" fillId="4" borderId="1" applyAlignment="1" pivotButton="0" quotePrefix="0" xfId="0">
      <alignment horizontal="right"/>
    </xf>
    <xf numFmtId="0" fontId="6" fillId="3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/>
    </xf>
    <xf numFmtId="0" fontId="8" fillId="0" borderId="1" pivotButton="0" quotePrefix="0" xfId="0"/>
    <xf numFmtId="0" fontId="9" fillId="0" borderId="1" applyAlignment="1" pivotButton="0" quotePrefix="0" xfId="0">
      <alignment horizontal="right"/>
    </xf>
    <xf numFmtId="0" fontId="10" fillId="0" borderId="1" applyAlignment="1" pivotButton="0" quotePrefix="0" xfId="0">
      <alignment vertical="top" wrapText="1"/>
    </xf>
    <xf numFmtId="164" fontId="9" fillId="0" borderId="1" applyAlignment="1" pivotButton="0" quotePrefix="0" xfId="0">
      <alignment horizontal="right"/>
    </xf>
    <xf numFmtId="0" fontId="11" fillId="0" borderId="1" pivotButton="0" quotePrefix="0" xfId="0"/>
    <xf numFmtId="0" fontId="8" fillId="0" borderId="1" applyAlignment="1" pivotButton="0" quotePrefix="0" xfId="0">
      <alignment horizontal="center"/>
    </xf>
    <xf numFmtId="0" fontId="10" fillId="0" borderId="1" pivotButton="0" quotePrefix="0" xfId="0"/>
    <xf numFmtId="0" fontId="6" fillId="3" borderId="0" applyAlignment="1" pivotButton="0" quotePrefix="0" xfId="0">
      <alignment horizontal="left" vertical="top" wrapText="1"/>
    </xf>
    <xf numFmtId="0" fontId="12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324F"/>
    <outlinePr summaryBelow="1" summaryRight="1"/>
    <pageSetUpPr fitToPage="1"/>
  </sheetPr>
  <dimension ref="A1:U2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0" customWidth="1" min="3" max="3"/>
    <col width="34" customWidth="1" min="4" max="4"/>
    <col width="36" customWidth="1" min="5" max="5"/>
    <col width="13" customWidth="1" min="6" max="6"/>
    <col width="13" customWidth="1" min="7" max="7"/>
    <col width="13" customWidth="1" min="8" max="8"/>
    <col width="8" customWidth="1" min="9" max="9"/>
    <col width="13" customWidth="1" min="10" max="10"/>
    <col width="8" customWidth="1" min="11" max="11"/>
    <col width="13" customWidth="1" min="12" max="12"/>
    <col width="8" customWidth="1" min="13" max="13"/>
    <col width="13" customWidth="1" min="14" max="14"/>
    <col width="15" customWidth="1" min="15" max="15"/>
    <col width="13" customWidth="1" min="16" max="16"/>
    <col width="40" customWidth="1" min="17" max="17"/>
    <col width="40" customWidth="1" min="18" max="18"/>
    <col width="40" customWidth="1" min="19" max="19"/>
    <col width="45" customWidth="1" min="20" max="20"/>
    <col width="10" customWidth="1" min="21" max="21"/>
  </cols>
  <sheetData>
    <row r="1" ht="38" customHeight="1">
      <c r="A1" s="1" t="inlineStr">
        <is>
          <t>16 casos de control — retenciones Colombia 2026</t>
        </is>
      </c>
    </row>
    <row r="2" ht="28" customHeight="1">
      <c r="A2" s="2" t="inlineStr">
        <is>
          <t>Cada fila es un caso independiente. No sumar bases entre casos. UVT 2026: $52.374.</t>
        </is>
      </c>
    </row>
    <row r="4" ht="34" customHeight="1">
      <c r="A4" s="3" t="inlineStr">
        <is>
          <t>#</t>
        </is>
      </c>
      <c r="B4" s="3" t="inlineStr">
        <is>
          <t>Caso</t>
        </is>
      </c>
      <c r="C4" s="3" t="inlineStr">
        <is>
          <t>Concepto</t>
        </is>
      </c>
      <c r="D4" s="3" t="inlineStr">
        <is>
          <t>Comprador</t>
        </is>
      </c>
      <c r="E4" s="3" t="inlineStr">
        <is>
          <t>Proveedor</t>
        </is>
      </c>
      <c r="F4" s="3" t="inlineStr">
        <is>
          <t>Base</t>
        </is>
      </c>
      <c r="G4" s="3" t="inlineStr">
        <is>
          <t>IVA</t>
        </is>
      </c>
      <c r="H4" s="3" t="inlineStr">
        <is>
          <t>Total</t>
        </is>
      </c>
      <c r="I4" s="3" t="inlineStr">
        <is>
          <t>RF %</t>
        </is>
      </c>
      <c r="J4" s="3" t="inlineStr">
        <is>
          <t>RF</t>
        </is>
      </c>
      <c r="K4" s="3" t="inlineStr">
        <is>
          <t>RIVA %</t>
        </is>
      </c>
      <c r="L4" s="3" t="inlineStr">
        <is>
          <t>RIVA</t>
        </is>
      </c>
      <c r="M4" s="3" t="inlineStr">
        <is>
          <t>RICA %</t>
        </is>
      </c>
      <c r="N4" s="3" t="inlineStr">
        <is>
          <t>RICA</t>
        </is>
      </c>
      <c r="O4" s="3" t="inlineStr">
        <is>
          <t>Total retenciones</t>
        </is>
      </c>
      <c r="P4" s="3" t="inlineStr">
        <is>
          <t>Neto</t>
        </is>
      </c>
      <c r="Q4" s="3" t="inlineStr">
        <is>
          <t>Asiento</t>
        </is>
      </c>
      <c r="R4" s="3" t="inlineStr">
        <is>
          <t>Documentos</t>
        </is>
      </c>
      <c r="S4" s="3" t="inlineStr">
        <is>
          <t>Errores a evitar</t>
        </is>
      </c>
      <c r="T4" s="3" t="inlineStr">
        <is>
          <t>Nota</t>
        </is>
      </c>
      <c r="U4" s="3" t="inlineStr">
        <is>
          <t>Chequeo</t>
        </is>
      </c>
    </row>
    <row r="5">
      <c r="A5" s="4" t="n">
        <v>1</v>
      </c>
      <c r="B5" s="4" t="inlineStr">
        <is>
          <t>Servicio general, proveedor declarante, comprador SAS normal</t>
        </is>
      </c>
      <c r="C5" s="4" t="inlineStr">
        <is>
          <t>Servicio general</t>
        </is>
      </c>
      <c r="D5" s="4" t="inlineStr">
        <is>
          <t>SAS normal; agente RF; no RIVA/RICA</t>
        </is>
      </c>
      <c r="E5" s="4" t="inlineStr">
        <is>
          <t>Persona jurídica declarante; no gran contribuyente</t>
        </is>
      </c>
      <c r="F5" s="5" t="n">
        <v>2000000</v>
      </c>
      <c r="G5" s="5" t="n">
        <v>380000</v>
      </c>
      <c r="H5" s="5" t="n">
        <v>2380000</v>
      </c>
      <c r="I5" s="6" t="n">
        <v>0.04</v>
      </c>
      <c r="J5" s="5" t="n">
        <v>80000</v>
      </c>
      <c r="K5" s="6" t="n">
        <v>0</v>
      </c>
      <c r="L5" s="5" t="n">
        <v>0</v>
      </c>
      <c r="M5" s="7" t="n">
        <v>0</v>
      </c>
      <c r="N5" s="5" t="n">
        <v>0</v>
      </c>
      <c r="O5" s="5" t="n">
        <v>80000</v>
      </c>
      <c r="P5" s="5" t="n">
        <v>2300000</v>
      </c>
      <c r="Q5" s="4" t="inlineStr">
        <is>
          <t>D 5135 / D 240805 / C 220505; pago C 236525</t>
        </is>
      </c>
      <c r="R5" s="4" t="inlineStr">
        <is>
          <t>Factura, certificado RF, comprobante, Formulario 350</t>
        </is>
      </c>
      <c r="S5" s="4" t="inlineStr">
        <is>
          <t>No calcular RF sobre el total; no practicar RIVA sin ser agente</t>
        </is>
      </c>
      <c r="T5" s="4" t="inlineStr">
        <is>
          <t>Caso base de servicio general.</t>
        </is>
      </c>
      <c r="U5" s="8">
        <f>H5-O5-P5</f>
        <v/>
      </c>
    </row>
    <row r="6">
      <c r="A6" s="4" t="n">
        <v>2</v>
      </c>
      <c r="B6" s="4" t="inlineStr">
        <is>
          <t>Servicio general, proveedor no declarante</t>
        </is>
      </c>
      <c r="C6" s="4" t="inlineStr">
        <is>
          <t>Servicio general</t>
        </is>
      </c>
      <c r="D6" s="4" t="inlineStr">
        <is>
          <t>SAS normal; agente RF; no RIVA/RICA</t>
        </is>
      </c>
      <c r="E6" s="4" t="inlineStr">
        <is>
          <t>Persona natural no declarante; responsable de IVA</t>
        </is>
      </c>
      <c r="F6" s="5" t="n">
        <v>500000</v>
      </c>
      <c r="G6" s="5" t="n">
        <v>95000</v>
      </c>
      <c r="H6" s="5" t="n">
        <v>595000</v>
      </c>
      <c r="I6" s="6" t="n">
        <v>0.06</v>
      </c>
      <c r="J6" s="5" t="n">
        <v>30000</v>
      </c>
      <c r="K6" s="6" t="n">
        <v>0</v>
      </c>
      <c r="L6" s="5" t="n">
        <v>0</v>
      </c>
      <c r="M6" s="7" t="n">
        <v>0</v>
      </c>
      <c r="N6" s="5" t="n">
        <v>0</v>
      </c>
      <c r="O6" s="5" t="n">
        <v>30000</v>
      </c>
      <c r="P6" s="5" t="n">
        <v>565000</v>
      </c>
      <c r="Q6" s="4" t="inlineStr">
        <is>
          <t>D 5135 / D 240805 / C 220505; pago C 236525</t>
        </is>
      </c>
      <c r="R6" s="4" t="inlineStr">
        <is>
          <t>RUT, certificación de no declarante, factura, certificado RF, Formulario 350</t>
        </is>
      </c>
      <c r="S6" s="4" t="inlineStr">
        <is>
          <t>Aplicar 4% en lugar de 6%; no documentar la condición de no declarante</t>
        </is>
      </c>
      <c r="T6" s="4" t="inlineStr">
        <is>
          <t>La base supera 2 UVT.</t>
        </is>
      </c>
      <c r="U6" s="8">
        <f>H6-O6-P6</f>
        <v/>
      </c>
    </row>
    <row r="7">
      <c r="A7" s="4" t="n">
        <v>3</v>
      </c>
      <c r="B7" s="4" t="inlineStr">
        <is>
          <t>Servicio por debajo del mínimo</t>
        </is>
      </c>
      <c r="C7" s="4" t="inlineStr">
        <is>
          <t>Servicio general</t>
        </is>
      </c>
      <c r="D7" s="4" t="inlineStr">
        <is>
          <t>SAS normal</t>
        </is>
      </c>
      <c r="E7" s="4" t="inlineStr">
        <is>
          <t>Persona natural no declarante; responsable de IVA</t>
        </is>
      </c>
      <c r="F7" s="5" t="n">
        <v>90000</v>
      </c>
      <c r="G7" s="5" t="n">
        <v>17100</v>
      </c>
      <c r="H7" s="5" t="n">
        <v>107100</v>
      </c>
      <c r="I7" s="6" t="n">
        <v>0</v>
      </c>
      <c r="J7" s="5" t="n">
        <v>0</v>
      </c>
      <c r="K7" s="6" t="n">
        <v>0</v>
      </c>
      <c r="L7" s="5" t="n">
        <v>0</v>
      </c>
      <c r="M7" s="7" t="n">
        <v>0</v>
      </c>
      <c r="N7" s="5" t="n">
        <v>0</v>
      </c>
      <c r="O7" s="5" t="n">
        <v>0</v>
      </c>
      <c r="P7" s="5" t="n">
        <v>107100</v>
      </c>
      <c r="Q7" s="4" t="inlineStr">
        <is>
          <t>D 5135 / D 240805 / C 111005 (o proveedores)</t>
        </is>
      </c>
      <c r="R7" s="4" t="inlineStr">
        <is>
          <t>Factura y comprobante de pago; no hay certificado de retención</t>
        </is>
      </c>
      <c r="S7" s="4" t="inlineStr">
        <is>
          <t>Retener sobre $90.000; aplicar reteIVA sin verificar el mínimo; fragmentar la operación</t>
        </is>
      </c>
      <c r="T7" s="4" t="inlineStr">
        <is>
          <t>Base inferior a 2 UVT ($104.748): no hay retención.</t>
        </is>
      </c>
      <c r="U7" s="8">
        <f>H7-O7-P7</f>
        <v/>
      </c>
    </row>
    <row r="8">
      <c r="A8" s="4" t="n">
        <v>4</v>
      </c>
      <c r="B8" s="4" t="inlineStr">
        <is>
          <t>Base exactamente en 2 UVT</t>
        </is>
      </c>
      <c r="C8" s="4" t="inlineStr">
        <is>
          <t>Servicio general</t>
        </is>
      </c>
      <c r="D8" s="4" t="inlineStr">
        <is>
          <t>Gran contribuyente; agente RF y RIVA</t>
        </is>
      </c>
      <c r="E8" s="4" t="inlineStr">
        <is>
          <t>Persona jurídica declarante; no gran contribuyente</t>
        </is>
      </c>
      <c r="F8" s="5" t="n">
        <v>104748</v>
      </c>
      <c r="G8" s="5" t="n">
        <v>19902.12</v>
      </c>
      <c r="H8" s="5" t="n">
        <v>124650.12</v>
      </c>
      <c r="I8" s="6" t="n">
        <v>0.04</v>
      </c>
      <c r="J8" s="5" t="n">
        <v>4189.92</v>
      </c>
      <c r="K8" s="6" t="n">
        <v>0.15</v>
      </c>
      <c r="L8" s="5" t="n">
        <v>2985.32</v>
      </c>
      <c r="M8" s="7" t="n">
        <v>0</v>
      </c>
      <c r="N8" s="5" t="n">
        <v>0</v>
      </c>
      <c r="O8" s="5" t="n">
        <v>7175.24</v>
      </c>
      <c r="P8" s="5" t="n">
        <v>117474.88</v>
      </c>
      <c r="Q8" s="4" t="inlineStr">
        <is>
          <t>D 5135 / D 240805 / C 220505; pago C 236525 / C 236701</t>
        </is>
      </c>
      <c r="R8" s="4" t="inlineStr">
        <is>
          <t>Factura, certificado RF, certificado reteIVA, comprobante, Formulario 350</t>
        </is>
      </c>
      <c r="S8" s="4" t="inlineStr">
        <is>
          <t>Redondear de forma inconsistente; no definir política de redondeo</t>
        </is>
      </c>
      <c r="T8" s="4" t="inlineStr">
        <is>
          <t>Valores exactos. Redondeo a peso: RF $4.190; RIVA $2.985; neto $117.475.</t>
        </is>
      </c>
      <c r="U8" s="8">
        <f>H8-O8-P8</f>
        <v/>
      </c>
    </row>
    <row r="9">
      <c r="A9" s="4" t="n">
        <v>5</v>
      </c>
      <c r="B9" s="4" t="inlineStr">
        <is>
          <t>Honorarios, persona jurídica</t>
        </is>
      </c>
      <c r="C9" s="4" t="inlineStr">
        <is>
          <t>Honorarios</t>
        </is>
      </c>
      <c r="D9" s="4" t="inlineStr">
        <is>
          <t>Gran contribuyente; agente RF y RIVA</t>
        </is>
      </c>
      <c r="E9" s="4" t="inlineStr">
        <is>
          <t>Persona jurídica declarante; no gran contribuyente</t>
        </is>
      </c>
      <c r="F9" s="5" t="n">
        <v>3000000</v>
      </c>
      <c r="G9" s="5" t="n">
        <v>570000</v>
      </c>
      <c r="H9" s="5" t="n">
        <v>3570000</v>
      </c>
      <c r="I9" s="6" t="n">
        <v>0.11</v>
      </c>
      <c r="J9" s="5" t="n">
        <v>330000</v>
      </c>
      <c r="K9" s="6" t="n">
        <v>0.15</v>
      </c>
      <c r="L9" s="5" t="n">
        <v>85500</v>
      </c>
      <c r="M9" s="7" t="n">
        <v>0</v>
      </c>
      <c r="N9" s="5" t="n">
        <v>0</v>
      </c>
      <c r="O9" s="5" t="n">
        <v>415500</v>
      </c>
      <c r="P9" s="5" t="n">
        <v>3154500</v>
      </c>
      <c r="Q9" s="4" t="inlineStr">
        <is>
          <t>D 5110 / D 240805 / C 220505; pago C 236515 / C 236701</t>
        </is>
      </c>
      <c r="R9" s="4" t="inlineStr">
        <is>
          <t>Factura, certificado RF, certificado reteIVA, comprobante, Formulario 350</t>
        </is>
      </c>
      <c r="S9" s="4" t="inlineStr">
        <is>
          <t>Usar 4% de servicios generales; olvidar reteIVA</t>
        </is>
      </c>
      <c r="T9" s="4" t="inlineStr">
        <is>
          <t>Honorarios tienen tarifa distinta a servicios generales.</t>
        </is>
      </c>
      <c r="U9" s="8">
        <f>H9-O9-P9</f>
        <v/>
      </c>
    </row>
    <row r="10">
      <c r="A10" s="4" t="n">
        <v>6</v>
      </c>
      <c r="B10" s="4" t="inlineStr">
        <is>
          <t>Honorarios, persona natural no declarante</t>
        </is>
      </c>
      <c r="C10" s="4" t="inlineStr">
        <is>
          <t>Honorarios</t>
        </is>
      </c>
      <c r="D10" s="4" t="inlineStr">
        <is>
          <t>SAS normal; agente RF; no RIVA</t>
        </is>
      </c>
      <c r="E10" s="4" t="inlineStr">
        <is>
          <t>Persona natural no declarante; responsable de IVA</t>
        </is>
      </c>
      <c r="F10" s="5" t="n">
        <v>800000</v>
      </c>
      <c r="G10" s="5" t="n">
        <v>152000</v>
      </c>
      <c r="H10" s="5" t="n">
        <v>952000</v>
      </c>
      <c r="I10" s="6" t="n">
        <v>0.1</v>
      </c>
      <c r="J10" s="5" t="n">
        <v>80000</v>
      </c>
      <c r="K10" s="6" t="n">
        <v>0</v>
      </c>
      <c r="L10" s="5" t="n">
        <v>0</v>
      </c>
      <c r="M10" s="7" t="n">
        <v>0</v>
      </c>
      <c r="N10" s="5" t="n">
        <v>0</v>
      </c>
      <c r="O10" s="5" t="n">
        <v>80000</v>
      </c>
      <c r="P10" s="5" t="n">
        <v>872000</v>
      </c>
      <c r="Q10" s="4" t="inlineStr">
        <is>
          <t>D 5110 / D 240805 / C 220505; pago C 236515</t>
        </is>
      </c>
      <c r="R10" s="4" t="inlineStr">
        <is>
          <t>RUT, certificación de no declarante, factura, certificado RF, Formulario 350</t>
        </is>
      </c>
      <c r="S10" s="4" t="inlineStr">
        <is>
          <t>Aplicar 11%; practicar reteIVA sin ser agente</t>
        </is>
      </c>
      <c r="T10" s="4" t="inlineStr">
        <is>
          <t>La tarifa de no declarante es 10%.</t>
        </is>
      </c>
      <c r="U10" s="8">
        <f>H10-O10-P10</f>
        <v/>
      </c>
    </row>
    <row r="11">
      <c r="A11" s="4" t="n">
        <v>7</v>
      </c>
      <c r="B11" s="4" t="inlineStr">
        <is>
          <t>Arrendamiento de vivienda</t>
        </is>
      </c>
      <c r="C11" s="4" t="inlineStr">
        <is>
          <t>Arrendamiento inmueble</t>
        </is>
      </c>
      <c r="D11" s="4" t="inlineStr">
        <is>
          <t>SAS normal; agente RF</t>
        </is>
      </c>
      <c r="E11" s="4" t="inlineStr">
        <is>
          <t>Persona natural declarante; no gran contribuyente</t>
        </is>
      </c>
      <c r="F11" s="5" t="n">
        <v>1200000</v>
      </c>
      <c r="G11" s="5" t="n">
        <v>0</v>
      </c>
      <c r="H11" s="5" t="n">
        <v>1200000</v>
      </c>
      <c r="I11" s="6" t="n">
        <v>0.035</v>
      </c>
      <c r="J11" s="5" t="n">
        <v>42000</v>
      </c>
      <c r="K11" s="6" t="n">
        <v>0</v>
      </c>
      <c r="L11" s="5" t="n">
        <v>0</v>
      </c>
      <c r="M11" s="7" t="n">
        <v>0</v>
      </c>
      <c r="N11" s="5" t="n">
        <v>0</v>
      </c>
      <c r="O11" s="5" t="n">
        <v>42000</v>
      </c>
      <c r="P11" s="5" t="n">
        <v>1158000</v>
      </c>
      <c r="Q11" s="4" t="inlineStr">
        <is>
          <t>D 5120 / C 220505; pago C 236530</t>
        </is>
      </c>
      <c r="R11" s="4" t="inlineStr">
        <is>
          <t>Contrato, factura o documento equivalente, certificado RF, comprobante</t>
        </is>
      </c>
      <c r="S11" s="4" t="inlineStr">
        <is>
          <t>Cobrar IVA a vivienda; aplicar reteIVA sin IVA; olvidar el mínimo de 10 UVT</t>
        </is>
      </c>
      <c r="T11" s="4" t="inlineStr">
        <is>
          <t>Arrendamiento de vivienda: IVA excluido, base supera 10 UVT.</t>
        </is>
      </c>
      <c r="U11" s="8">
        <f>H11-O11-P11</f>
        <v/>
      </c>
    </row>
    <row r="12">
      <c r="A12" s="4" t="n">
        <v>8</v>
      </c>
      <c r="B12" s="4" t="inlineStr">
        <is>
          <t>Compra de mercancía, proveedor declarante</t>
        </is>
      </c>
      <c r="C12" s="4" t="inlineStr">
        <is>
          <t>Mercancía</t>
        </is>
      </c>
      <c r="D12" s="4" t="inlineStr">
        <is>
          <t>Gran contribuyente; agente RF y RIVA</t>
        </is>
      </c>
      <c r="E12" s="4" t="inlineStr">
        <is>
          <t>Persona jurídica declarante; no gran contribuyente</t>
        </is>
      </c>
      <c r="F12" s="5" t="n">
        <v>4000000</v>
      </c>
      <c r="G12" s="5" t="n">
        <v>760000</v>
      </c>
      <c r="H12" s="5" t="n">
        <v>4760000</v>
      </c>
      <c r="I12" s="6" t="n">
        <v>0.025</v>
      </c>
      <c r="J12" s="5" t="n">
        <v>100000</v>
      </c>
      <c r="K12" s="6" t="n">
        <v>0.15</v>
      </c>
      <c r="L12" s="5" t="n">
        <v>114000</v>
      </c>
      <c r="M12" s="7" t="n">
        <v>0</v>
      </c>
      <c r="N12" s="5" t="n">
        <v>0</v>
      </c>
      <c r="O12" s="5" t="n">
        <v>214000</v>
      </c>
      <c r="P12" s="5" t="n">
        <v>4546000</v>
      </c>
      <c r="Q12" s="4" t="inlineStr">
        <is>
          <t>D 1435 / D 240805 / C 220505; pago C 236540 / C 236701</t>
        </is>
      </c>
      <c r="R12" s="4" t="inlineStr">
        <is>
          <t>Factura, certificado RF, certificado reteIVA, comprobante, Formulario 350</t>
        </is>
      </c>
      <c r="S12" s="4" t="inlineStr">
        <is>
          <t>Calcular RF sobre el total con IVA; olvidar el mínimo de 10 UVT</t>
        </is>
      </c>
      <c r="T12" s="4" t="inlineStr">
        <is>
          <t>Caso base de compra de mercancía.</t>
        </is>
      </c>
      <c r="U12" s="8">
        <f>H12-O12-P12</f>
        <v/>
      </c>
    </row>
    <row r="13">
      <c r="A13" s="4" t="n">
        <v>9</v>
      </c>
      <c r="B13" s="4" t="inlineStr">
        <is>
          <t>Compra de mercancía, proveedor no declarante</t>
        </is>
      </c>
      <c r="C13" s="4" t="inlineStr">
        <is>
          <t>Mercancía</t>
        </is>
      </c>
      <c r="D13" s="4" t="inlineStr">
        <is>
          <t>SAS normal; agente RF; no RIVA</t>
        </is>
      </c>
      <c r="E13" s="4" t="inlineStr">
        <is>
          <t>Persona natural no declarante; responsable de IVA</t>
        </is>
      </c>
      <c r="F13" s="5" t="n">
        <v>1000000</v>
      </c>
      <c r="G13" s="5" t="n">
        <v>190000</v>
      </c>
      <c r="H13" s="5" t="n">
        <v>1190000</v>
      </c>
      <c r="I13" s="6" t="n">
        <v>0.035</v>
      </c>
      <c r="J13" s="5" t="n">
        <v>35000</v>
      </c>
      <c r="K13" s="6" t="n">
        <v>0</v>
      </c>
      <c r="L13" s="5" t="n">
        <v>0</v>
      </c>
      <c r="M13" s="7" t="n">
        <v>0</v>
      </c>
      <c r="N13" s="5" t="n">
        <v>0</v>
      </c>
      <c r="O13" s="5" t="n">
        <v>35000</v>
      </c>
      <c r="P13" s="5" t="n">
        <v>1155000</v>
      </c>
      <c r="Q13" s="4" t="inlineStr">
        <is>
          <t>D 1435 / D 240805 / C 220505; pago C 236540</t>
        </is>
      </c>
      <c r="R13" s="4" t="inlineStr">
        <is>
          <t>RUT, certificación de no declarante, factura, certificado RF, Formulario 350</t>
        </is>
      </c>
      <c r="S13" s="4" t="inlineStr">
        <is>
          <t>Aplicar 2,5%; no documentar la condición de no declarante</t>
        </is>
      </c>
      <c r="T13" s="4" t="inlineStr">
        <is>
          <t>La tarifa de compras para no declarante es 3,5%.</t>
        </is>
      </c>
      <c r="U13" s="8">
        <f>H13-O13-P13</f>
        <v/>
      </c>
    </row>
    <row r="14">
      <c r="A14" s="4" t="n">
        <v>10</v>
      </c>
      <c r="B14" s="4" t="inlineStr">
        <is>
          <t>Gran contribuyente, servicio</t>
        </is>
      </c>
      <c r="C14" s="4" t="inlineStr">
        <is>
          <t>Servicio general</t>
        </is>
      </c>
      <c r="D14" s="4" t="inlineStr">
        <is>
          <t>Gran contribuyente; agente RF y RIVA</t>
        </is>
      </c>
      <c r="E14" s="4" t="inlineStr">
        <is>
          <t>Persona jurídica declarante; no gran contribuyente</t>
        </is>
      </c>
      <c r="F14" s="5" t="n">
        <v>5000000</v>
      </c>
      <c r="G14" s="5" t="n">
        <v>950000</v>
      </c>
      <c r="H14" s="5" t="n">
        <v>5950000</v>
      </c>
      <c r="I14" s="6" t="n">
        <v>0.04</v>
      </c>
      <c r="J14" s="5" t="n">
        <v>200000</v>
      </c>
      <c r="K14" s="6" t="n">
        <v>0.15</v>
      </c>
      <c r="L14" s="5" t="n">
        <v>142500</v>
      </c>
      <c r="M14" s="7" t="n">
        <v>0</v>
      </c>
      <c r="N14" s="5" t="n">
        <v>0</v>
      </c>
      <c r="O14" s="5" t="n">
        <v>342500</v>
      </c>
      <c r="P14" s="5" t="n">
        <v>5607500</v>
      </c>
      <c r="Q14" s="4" t="inlineStr">
        <is>
          <t>D 5135 / D 240805 / C 220505; pago C 236525 / C 236701</t>
        </is>
      </c>
      <c r="R14" s="4" t="inlineStr">
        <is>
          <t>Factura, certificado RF, certificado reteIVA, comprobante, Formulario 350</t>
        </is>
      </c>
      <c r="S14" s="4" t="inlineStr">
        <is>
          <t>Olvidar reteIVA por ser gran contribuyente; calcular sobre el total</t>
        </is>
      </c>
      <c r="T14" s="4" t="inlineStr">
        <is>
          <t>El comprador es gran contribuyente y agente de reteIVA.</t>
        </is>
      </c>
      <c r="U14" s="8">
        <f>H14-O14-P14</f>
        <v/>
      </c>
    </row>
    <row r="15">
      <c r="A15" s="4" t="n">
        <v>11</v>
      </c>
      <c r="B15" s="4" t="inlineStr">
        <is>
          <t>ReteICA en Bogotá</t>
        </is>
      </c>
      <c r="C15" s="4" t="inlineStr">
        <is>
          <t>Servicio general</t>
        </is>
      </c>
      <c r="D15" s="4" t="inlineStr">
        <is>
          <t>SAS normal; agente RF y reteICA; no RIVA</t>
        </is>
      </c>
      <c r="E15" s="4" t="inlineStr">
        <is>
          <t>Persona jurídica declarante; no gran contribuyente</t>
        </is>
      </c>
      <c r="F15" s="5" t="n">
        <v>2000000</v>
      </c>
      <c r="G15" s="5" t="n">
        <v>380000</v>
      </c>
      <c r="H15" s="5" t="n">
        <v>2380000</v>
      </c>
      <c r="I15" s="6" t="n">
        <v>0.04</v>
      </c>
      <c r="J15" s="5" t="n">
        <v>80000</v>
      </c>
      <c r="K15" s="6" t="n">
        <v>0</v>
      </c>
      <c r="L15" s="5" t="n">
        <v>0</v>
      </c>
      <c r="M15" s="7" t="n">
        <v>0.00966</v>
      </c>
      <c r="N15" s="5" t="n">
        <v>19320</v>
      </c>
      <c r="O15" s="5" t="n">
        <v>99320</v>
      </c>
      <c r="P15" s="5" t="n">
        <v>2280680</v>
      </c>
      <c r="Q15" s="4" t="inlineStr">
        <is>
          <t>D 5135 / D 240805 / C 220505; pago C 236525 / C 2368</t>
        </is>
      </c>
      <c r="R15" s="4" t="inlineStr">
        <is>
          <t>Factura, certificado RF, certificado reteICA, comprobante, Formulario 350</t>
        </is>
      </c>
      <c r="S15" s="4" t="inlineStr">
        <is>
          <t>Usar una tarifa de ICA de otra ciudad; no verificar la calidad de agente municipal</t>
        </is>
      </c>
      <c r="T15" s="4" t="inlineStr">
        <is>
          <t>Tarifa pedagógica 0,966% de Bogotá; verificar tarifa vigente.</t>
        </is>
      </c>
      <c r="U15" s="8">
        <f>H15-O15-P15</f>
        <v/>
      </c>
    </row>
    <row r="16">
      <c r="A16" s="4" t="n">
        <v>12</v>
      </c>
      <c r="B16" s="4" t="inlineStr">
        <is>
          <t>Proveedor SIMPLE</t>
        </is>
      </c>
      <c r="C16" s="4" t="inlineStr">
        <is>
          <t>Servicio general</t>
        </is>
      </c>
      <c r="D16" s="4" t="inlineStr">
        <is>
          <t>Gran contribuyente; agente RF y RIVA</t>
        </is>
      </c>
      <c r="E16" s="4" t="inlineStr">
        <is>
          <t>Contribuyente del SIMPLE; responsable de IVA</t>
        </is>
      </c>
      <c r="F16" s="5" t="n">
        <v>1000000</v>
      </c>
      <c r="G16" s="5" t="n">
        <v>190000</v>
      </c>
      <c r="H16" s="5" t="n">
        <v>1190000</v>
      </c>
      <c r="I16" s="6" t="n">
        <v>0</v>
      </c>
      <c r="J16" s="5" t="n">
        <v>0</v>
      </c>
      <c r="K16" s="6" t="n">
        <v>0.15</v>
      </c>
      <c r="L16" s="5" t="n">
        <v>28500</v>
      </c>
      <c r="M16" s="7" t="n">
        <v>0</v>
      </c>
      <c r="N16" s="5" t="n">
        <v>0</v>
      </c>
      <c r="O16" s="5" t="n">
        <v>28500</v>
      </c>
      <c r="P16" s="5" t="n">
        <v>1161500</v>
      </c>
      <c r="Q16" s="4" t="inlineStr">
        <is>
          <t>D 5135 / D 240805 / C 220505; pago C 236701</t>
        </is>
      </c>
      <c r="R16" s="4" t="inlineStr">
        <is>
          <t>Factura, certificado reteIVA, comprobante; no certificado de RF</t>
        </is>
      </c>
      <c r="S16" s="4" t="inlineStr">
        <is>
          <t>Practicar retefuente a un proveedor SIMPLE; olvidar reteIVA</t>
        </is>
      </c>
      <c r="T16" s="4" t="inlineStr">
        <is>
          <t>Art. 911 ET: no hay retefuente; reteICA tampoco.</t>
        </is>
      </c>
      <c r="U16" s="8">
        <f>H16-O16-P16</f>
        <v/>
      </c>
    </row>
    <row r="17">
      <c r="A17" s="4" t="n">
        <v>13</v>
      </c>
      <c r="B17" s="4" t="inlineStr">
        <is>
          <t>Proveedor autorretenedor</t>
        </is>
      </c>
      <c r="C17" s="4" t="inlineStr">
        <is>
          <t>Servicio general</t>
        </is>
      </c>
      <c r="D17" s="4" t="inlineStr">
        <is>
          <t>Gran contribuyente; agente RF y RIVA</t>
        </is>
      </c>
      <c r="E17" s="4" t="inlineStr">
        <is>
          <t>Autorretenedor de renta; no gran contribuyente</t>
        </is>
      </c>
      <c r="F17" s="5" t="n">
        <v>1000000</v>
      </c>
      <c r="G17" s="5" t="n">
        <v>190000</v>
      </c>
      <c r="H17" s="5" t="n">
        <v>1190000</v>
      </c>
      <c r="I17" s="6" t="n">
        <v>0</v>
      </c>
      <c r="J17" s="5" t="n">
        <v>0</v>
      </c>
      <c r="K17" s="6" t="n">
        <v>0.15</v>
      </c>
      <c r="L17" s="5" t="n">
        <v>28500</v>
      </c>
      <c r="M17" s="7" t="n">
        <v>0</v>
      </c>
      <c r="N17" s="5" t="n">
        <v>0</v>
      </c>
      <c r="O17" s="5" t="n">
        <v>28500</v>
      </c>
      <c r="P17" s="5" t="n">
        <v>1161500</v>
      </c>
      <c r="Q17" s="4" t="inlineStr">
        <is>
          <t>D 5135 / D 240805 / C 220505; pago C 236701</t>
        </is>
      </c>
      <c r="R17" s="4" t="inlineStr">
        <is>
          <t>Factura, certificado de autorretención, certificado reteIVA, comprobante</t>
        </is>
      </c>
      <c r="S17" s="4" t="inlineStr">
        <is>
          <t>Practicar retefuente; no verificar la autorización de autorretención</t>
        </is>
      </c>
      <c r="T17" s="4" t="inlineStr">
        <is>
          <t>El proveedor se autorretiene; el comprador solo practica reteIVA.</t>
        </is>
      </c>
      <c r="U17" s="8">
        <f>H17-O17-P17</f>
        <v/>
      </c>
    </row>
    <row r="18">
      <c r="A18" s="4" t="n">
        <v>14</v>
      </c>
      <c r="B18" s="4" t="inlineStr">
        <is>
          <t>Factura con IVA incluido</t>
        </is>
      </c>
      <c r="C18" s="4" t="inlineStr">
        <is>
          <t>Servicio general</t>
        </is>
      </c>
      <c r="D18" s="4" t="inlineStr">
        <is>
          <t>SAS normal; agente RF; no RIVA</t>
        </is>
      </c>
      <c r="E18" s="4" t="inlineStr">
        <is>
          <t>Persona jurídica declarante; no gran contribuyente</t>
        </is>
      </c>
      <c r="F18" s="5" t="n">
        <v>1000000</v>
      </c>
      <c r="G18" s="5" t="n">
        <v>190000</v>
      </c>
      <c r="H18" s="5" t="n">
        <v>1190000</v>
      </c>
      <c r="I18" s="6" t="n">
        <v>0.04</v>
      </c>
      <c r="J18" s="5" t="n">
        <v>40000</v>
      </c>
      <c r="K18" s="6" t="n">
        <v>0</v>
      </c>
      <c r="L18" s="5" t="n">
        <v>0</v>
      </c>
      <c r="M18" s="7" t="n">
        <v>0</v>
      </c>
      <c r="N18" s="5" t="n">
        <v>0</v>
      </c>
      <c r="O18" s="5" t="n">
        <v>40000</v>
      </c>
      <c r="P18" s="5" t="n">
        <v>1150000</v>
      </c>
      <c r="Q18" s="4" t="inlineStr">
        <is>
          <t>D 5135 / D 240805 / C 220505; pago C 236525</t>
        </is>
      </c>
      <c r="R18" s="4" t="inlineStr">
        <is>
          <t>Factura con IVA incluido, certificado RF, comprobante</t>
        </is>
      </c>
      <c r="S18" s="4" t="inlineStr">
        <is>
          <t>Calcular la base sobre $1.190.000; no separar el IVA</t>
        </is>
      </c>
      <c r="T18" s="4" t="inlineStr">
        <is>
          <t>Total facturado $1.190.000 con IVA incluido; base = 1.190.000 / 1,19.</t>
        </is>
      </c>
      <c r="U18" s="8">
        <f>H18-O18-P18</f>
        <v/>
      </c>
    </row>
    <row r="19">
      <c r="A19" s="4" t="n">
        <v>15</v>
      </c>
      <c r="B19" s="4" t="inlineStr">
        <is>
          <t>Pago parcial</t>
        </is>
      </c>
      <c r="C19" s="4" t="inlineStr">
        <is>
          <t>Servicio general</t>
        </is>
      </c>
      <c r="D19" s="4" t="inlineStr">
        <is>
          <t>Gran contribuyente; agente RF y RIVA</t>
        </is>
      </c>
      <c r="E19" s="4" t="inlineStr">
        <is>
          <t>Persona jurídica declarante; no gran contribuyente</t>
        </is>
      </c>
      <c r="F19" s="5" t="n">
        <v>1000000</v>
      </c>
      <c r="G19" s="5" t="n">
        <v>190000</v>
      </c>
      <c r="H19" s="5" t="n">
        <v>1190000</v>
      </c>
      <c r="I19" s="6" t="n">
        <v>0.04</v>
      </c>
      <c r="J19" s="5" t="n">
        <v>40000</v>
      </c>
      <c r="K19" s="6" t="n">
        <v>0.15</v>
      </c>
      <c r="L19" s="5" t="n">
        <v>28500</v>
      </c>
      <c r="M19" s="7" t="n">
        <v>0</v>
      </c>
      <c r="N19" s="5" t="n">
        <v>0</v>
      </c>
      <c r="O19" s="5" t="n">
        <v>68500</v>
      </c>
      <c r="P19" s="5" t="n">
        <v>1121500</v>
      </c>
      <c r="Q19" s="4" t="inlineStr">
        <is>
          <t>D 5135 / D 240805 / C 220505; pago 50%: C 236525 / C 236701 / C 111005</t>
        </is>
      </c>
      <c r="R19" s="4" t="inlineStr">
        <is>
          <t>Factura, certificados de retención del pago, comprobante</t>
        </is>
      </c>
      <c r="S19" s="4" t="inlineStr">
        <is>
          <t>Retener sobre el total cuando solo se paga el 50%; olvidar el saldo</t>
        </is>
      </c>
      <c r="T19" s="4" t="inlineStr">
        <is>
          <t>Pago 50%: base 500.000; IVA 95.000; RF 20.000; RIVA 14.250; neto 560.750; saldo 595.000.</t>
        </is>
      </c>
      <c r="U19" s="8">
        <f>H19-O19-P19</f>
        <v/>
      </c>
    </row>
    <row r="20">
      <c r="A20" s="4" t="n">
        <v>16</v>
      </c>
      <c r="B20" s="4" t="inlineStr">
        <is>
          <t>Nota crédito antes del pago</t>
        </is>
      </c>
      <c r="C20" s="4" t="inlineStr">
        <is>
          <t>Servicio general</t>
        </is>
      </c>
      <c r="D20" s="4" t="inlineStr">
        <is>
          <t>SAS normal; agente RF; no RIVA</t>
        </is>
      </c>
      <c r="E20" s="4" t="inlineStr">
        <is>
          <t>Persona jurídica declarante; no gran contribuyente</t>
        </is>
      </c>
      <c r="F20" s="5" t="n">
        <v>1000000</v>
      </c>
      <c r="G20" s="5" t="n">
        <v>190000</v>
      </c>
      <c r="H20" s="5" t="n">
        <v>1190000</v>
      </c>
      <c r="I20" s="6" t="n">
        <v>0.04</v>
      </c>
      <c r="J20" s="5" t="n">
        <v>40000</v>
      </c>
      <c r="K20" s="6" t="n">
        <v>0</v>
      </c>
      <c r="L20" s="5" t="n">
        <v>0</v>
      </c>
      <c r="M20" s="7" t="n">
        <v>0</v>
      </c>
      <c r="N20" s="5" t="n">
        <v>0</v>
      </c>
      <c r="O20" s="5" t="n">
        <v>40000</v>
      </c>
      <c r="P20" s="5" t="n">
        <v>1150000</v>
      </c>
      <c r="Q20" s="4" t="inlineStr">
        <is>
          <t>D 5135 / D 240805 / C 220505; NC 50%; pago C 236525</t>
        </is>
      </c>
      <c r="R20" s="4" t="inlineStr">
        <is>
          <t>Factura original, nota crédito, certificado RF sobre el saldo, comprobante</t>
        </is>
      </c>
      <c r="S20" s="4" t="inlineStr">
        <is>
          <t>Retener sobre la factura original completa; no reversar la retención de la nota crédito</t>
        </is>
      </c>
      <c r="T20" s="4" t="inlineStr">
        <is>
          <t>Factura original 2.000.000 + IVA 380.000; NC 50% por 1.190.000; saldo 1.190.000; RF 40.000.</t>
        </is>
      </c>
      <c r="U20" s="8">
        <f>H20-O20-P20</f>
        <v/>
      </c>
    </row>
    <row r="22" ht="30" customHeight="1">
      <c r="A22" s="9" t="inlineStr">
        <is>
          <t>Chequeo = Total − Total retenciones − Neto. Debe ser 0 en todas las filas. Caso 4 usa valores exactos con decimales; los demás están en pesos enteros.</t>
        </is>
      </c>
    </row>
  </sheetData>
  <autoFilter ref="A4:U20"/>
  <mergeCells count="3">
    <mergeCell ref="A22:U22"/>
    <mergeCell ref="A1:U1"/>
    <mergeCell ref="A2:U2"/>
  </mergeCell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U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  <col width="50" customWidth="1" min="4" max="4"/>
  </cols>
  <sheetData>
    <row r="1" ht="38" customHeight="1">
      <c r="A1" s="1" t="inlineStr">
        <is>
          <t>Resumen de cobertura</t>
        </is>
      </c>
    </row>
    <row r="2" ht="28" customHeight="1">
      <c r="A2" s="2" t="inlineStr">
        <is>
          <t>Indicadores de la tabla de control. Los totales monetarios son referenciales, no una declaración.</t>
        </is>
      </c>
    </row>
    <row r="4" ht="24" customHeight="1">
      <c r="A4" s="10" t="inlineStr">
        <is>
          <t>INDICADORES</t>
        </is>
      </c>
    </row>
    <row r="5">
      <c r="B5" s="11" t="inlineStr">
        <is>
          <t>Casos totales</t>
        </is>
      </c>
      <c r="C5" s="12">
        <f>COUNTA(Casos!A5:A20)</f>
        <v/>
      </c>
      <c r="D5" s="13" t="inlineStr">
        <is>
          <t>16 casos del paquete.</t>
        </is>
      </c>
    </row>
    <row r="6">
      <c r="B6" s="11" t="inlineStr">
        <is>
          <t>Casos con retefuente</t>
        </is>
      </c>
      <c r="C6" s="12">
        <f>COUNTIF(Casos!J5:J20,"&gt;0")</f>
        <v/>
      </c>
      <c r="D6" s="13" t="inlineStr">
        <is>
          <t>Incluye servicios, honorarios, arrendamiento y compras.</t>
        </is>
      </c>
    </row>
    <row r="7">
      <c r="B7" s="11" t="inlineStr">
        <is>
          <t>Casos con reteIVA</t>
        </is>
      </c>
      <c r="C7" s="12">
        <f>COUNTIF(Casos!L5:L20,"&gt;0")</f>
        <v/>
      </c>
      <c r="D7" s="13" t="inlineStr">
        <is>
          <t>Solo cuando el comprador es agente de reteIVA.</t>
        </is>
      </c>
    </row>
    <row r="8">
      <c r="B8" s="11" t="inlineStr">
        <is>
          <t>Casos con reteICA</t>
        </is>
      </c>
      <c r="C8" s="12">
        <f>COUNTIF(Casos!N5:N20,"&gt;0")</f>
        <v/>
      </c>
      <c r="D8" s="13" t="inlineStr">
        <is>
          <t>Caso 11: tarifa pedagógica de Bogotá.</t>
        </is>
      </c>
    </row>
    <row r="9">
      <c r="B9" s="11" t="inlineStr">
        <is>
          <t>Casos sin retención</t>
        </is>
      </c>
      <c r="C9" s="12">
        <f>COUNTIF(Casos!O5:O20,0)</f>
        <v/>
      </c>
      <c r="D9" s="13" t="inlineStr">
        <is>
          <t>Caso 3: base inferior al mínimo.</t>
        </is>
      </c>
    </row>
    <row r="10">
      <c r="B10" s="11" t="inlineStr">
        <is>
          <t>Suma de retenciones (referencial)</t>
        </is>
      </c>
      <c r="C10" s="14">
        <f>SUM(Casos!O5:O20)</f>
        <v/>
      </c>
      <c r="D10" s="13" t="inlineStr">
        <is>
          <t>No sumar para una declaración; cada caso es independiente.</t>
        </is>
      </c>
    </row>
    <row r="11">
      <c r="B11" s="11" t="inlineStr">
        <is>
          <t>Chequeo total (debe ser 0)</t>
        </is>
      </c>
      <c r="C11" s="14">
        <f>SUM(Casos!U5:U20)</f>
        <v/>
      </c>
      <c r="D11" s="13" t="inlineStr">
        <is>
          <t>Si no es 0, revisar fórmulas.</t>
        </is>
      </c>
    </row>
    <row r="14" ht="24" customHeight="1">
      <c r="A14" s="10" t="inlineStr">
        <is>
          <t>COBERTURA POR CONCEPTO</t>
        </is>
      </c>
    </row>
    <row r="15" ht="34" customHeight="1">
      <c r="A15" s="3" t="inlineStr"/>
      <c r="B15" s="3" t="inlineStr">
        <is>
          <t>Concepto</t>
        </is>
      </c>
      <c r="C15" s="3" t="inlineStr">
        <is>
          <t>Casos</t>
        </is>
      </c>
      <c r="D15" s="3" t="inlineStr">
        <is>
          <t>Observación</t>
        </is>
      </c>
    </row>
    <row r="16">
      <c r="B16" s="15" t="inlineStr">
        <is>
          <t>Servicio general</t>
        </is>
      </c>
      <c r="C16" s="16">
        <f>COUNTIF(Casos!C5:C20,"Servicio general")</f>
        <v/>
      </c>
      <c r="D16" s="17" t="inlineStr">
        <is>
          <t>Casos 1, 2, 3, 4, 10, 11, 12, 13, 14, 15 y 16.</t>
        </is>
      </c>
    </row>
    <row r="17">
      <c r="B17" s="15" t="inlineStr">
        <is>
          <t>Honorarios</t>
        </is>
      </c>
      <c r="C17" s="16">
        <f>COUNTIF(Casos!C5:C20,"Honorarios")</f>
        <v/>
      </c>
      <c r="D17" s="17" t="inlineStr">
        <is>
          <t>Casos 5 y 6.</t>
        </is>
      </c>
    </row>
    <row r="18">
      <c r="B18" s="15" t="inlineStr">
        <is>
          <t>Arrendamiento inmueble</t>
        </is>
      </c>
      <c r="C18" s="16">
        <f>COUNTIF(Casos!C5:C20,"Arrendamiento inmueble")</f>
        <v/>
      </c>
      <c r="D18" s="17" t="inlineStr">
        <is>
          <t>Caso 7.</t>
        </is>
      </c>
    </row>
    <row r="19">
      <c r="B19" s="15" t="inlineStr">
        <is>
          <t>Mercancía</t>
        </is>
      </c>
      <c r="C19" s="16">
        <f>COUNTIF(Casos!C5:C20,"Mercancía")</f>
        <v/>
      </c>
      <c r="D19" s="17" t="inlineStr">
        <is>
          <t>Casos 8 y 9.</t>
        </is>
      </c>
    </row>
    <row r="22" ht="34" customHeight="1">
      <c r="A22" s="18" t="inlineStr">
        <is>
          <t>La tabla es un instrumento de control y aprendizaje. No reemplaza la validación del contador ni la consulta de la norma vigente.</t>
        </is>
      </c>
    </row>
  </sheetData>
  <mergeCells count="12">
    <mergeCell ref="A2:U2"/>
    <mergeCell ref="D9"/>
    <mergeCell ref="A22:D22"/>
    <mergeCell ref="A4:D4"/>
    <mergeCell ref="D7"/>
    <mergeCell ref="D8"/>
    <mergeCell ref="D6"/>
    <mergeCell ref="D11"/>
    <mergeCell ref="D10"/>
    <mergeCell ref="A1:U1"/>
    <mergeCell ref="D5"/>
    <mergeCell ref="A14:D14"/>
  </mergeCells>
  <printOptions horizontalCentered="1"/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U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  <col width="50" customWidth="1" min="4" max="4"/>
  </cols>
  <sheetData>
    <row r="1" ht="38" customHeight="1">
      <c r="A1" s="1" t="inlineStr">
        <is>
          <t>Reglas y mínimos usados</t>
        </is>
      </c>
    </row>
    <row r="2" ht="28" customHeight="1">
      <c r="A2" s="2" t="inlineStr">
        <is>
          <t>Base pedagógica del proyecto. Verifica siempre la vigencia y el RUT del proveedor.</t>
        </is>
      </c>
    </row>
    <row r="4" ht="24" customHeight="1">
      <c r="A4" s="10" t="inlineStr">
        <is>
          <t>PARÁMETROS 2026</t>
        </is>
      </c>
    </row>
    <row r="5" ht="34" customHeight="1">
      <c r="A5" s="3" t="inlineStr"/>
      <c r="B5" s="3" t="inlineStr">
        <is>
          <t>Concepto</t>
        </is>
      </c>
      <c r="C5" s="3" t="inlineStr">
        <is>
          <t>Valor</t>
        </is>
      </c>
      <c r="D5" s="3" t="inlineStr">
        <is>
          <t>Observación</t>
        </is>
      </c>
    </row>
    <row r="6">
      <c r="B6" s="11" t="inlineStr">
        <is>
          <t>UVT 2026</t>
        </is>
      </c>
      <c r="C6" s="15" t="inlineStr">
        <is>
          <t>$52.374</t>
        </is>
      </c>
      <c r="D6" s="13" t="inlineStr">
        <is>
          <t>Valor de referencia del ejercicio.</t>
        </is>
      </c>
    </row>
    <row r="7">
      <c r="B7" s="11" t="inlineStr">
        <is>
          <t>2 UVT</t>
        </is>
      </c>
      <c r="C7" s="15" t="inlineStr">
        <is>
          <t>$104.748</t>
        </is>
      </c>
      <c r="D7" s="13" t="inlineStr">
        <is>
          <t>Mínimo de servicios.</t>
        </is>
      </c>
    </row>
    <row r="8">
      <c r="B8" s="11" t="inlineStr">
        <is>
          <t>10 UVT</t>
        </is>
      </c>
      <c r="C8" s="15" t="inlineStr">
        <is>
          <t>$523.740</t>
        </is>
      </c>
      <c r="D8" s="13" t="inlineStr">
        <is>
          <t>Mínimo de compras y arrendamiento de inmuebles.</t>
        </is>
      </c>
    </row>
    <row r="9">
      <c r="B9" s="11" t="inlineStr">
        <is>
          <t>IVA general</t>
        </is>
      </c>
      <c r="C9" s="15" t="inlineStr">
        <is>
          <t>19%</t>
        </is>
      </c>
      <c r="D9" s="13" t="inlineStr">
        <is>
          <t>Operaciones gravadas.</t>
        </is>
      </c>
    </row>
    <row r="10">
      <c r="B10" s="11" t="inlineStr">
        <is>
          <t>Retefuente servicios</t>
        </is>
      </c>
      <c r="C10" s="15" t="inlineStr">
        <is>
          <t>4% declarante / 6% no declarante</t>
        </is>
      </c>
      <c r="D10" s="13" t="inlineStr">
        <is>
          <t>Base antes de IVA; mínimo 2 UVT.</t>
        </is>
      </c>
    </row>
    <row r="11">
      <c r="B11" s="11" t="inlineStr">
        <is>
          <t>Retefuente honorarios</t>
        </is>
      </c>
      <c r="C11" s="15" t="inlineStr">
        <is>
          <t>11% jurídica declarante / 10% no declarante</t>
        </is>
      </c>
      <c r="D11" s="13" t="inlineStr">
        <is>
          <t>Sin mínimo general; verificar excepción de 3.300 UVT.</t>
        </is>
      </c>
    </row>
    <row r="12">
      <c r="B12" s="11" t="inlineStr">
        <is>
          <t>Retefuente compras</t>
        </is>
      </c>
      <c r="C12" s="15" t="inlineStr">
        <is>
          <t>2,5% declarante / 3,5% no declarante</t>
        </is>
      </c>
      <c r="D12" s="13" t="inlineStr">
        <is>
          <t>Base antes de IVA; mínimo 10 UVT.</t>
        </is>
      </c>
    </row>
    <row r="13">
      <c r="B13" s="11" t="inlineStr">
        <is>
          <t>Retefuente arrendamiento inmueble</t>
        </is>
      </c>
      <c r="C13" s="15" t="inlineStr">
        <is>
          <t>3,5%</t>
        </is>
      </c>
      <c r="D13" s="13" t="inlineStr">
        <is>
          <t>Mínimo 10 UVT; vivienda con IVA excluido.</t>
        </is>
      </c>
    </row>
    <row r="14">
      <c r="B14" s="11" t="inlineStr">
        <is>
          <t>ReteIVA</t>
        </is>
      </c>
      <c r="C14" s="15" t="inlineStr">
        <is>
          <t>15% del IVA</t>
        </is>
      </c>
      <c r="D14" s="13" t="inlineStr">
        <is>
          <t>Solo si el comprador es agente de reteIVA.</t>
        </is>
      </c>
    </row>
    <row r="15">
      <c r="B15" s="11" t="inlineStr">
        <is>
          <t>ReteICA</t>
        </is>
      </c>
      <c r="C15" s="15" t="inlineStr">
        <is>
          <t>Tarifa municipal</t>
        </is>
      </c>
      <c r="D15" s="13" t="inlineStr">
        <is>
          <t>Caso 11 usa 0,966% de Bogotá como ejemplo pedagógico.</t>
        </is>
      </c>
    </row>
    <row r="17" ht="24" customHeight="1">
      <c r="A17" s="10" t="inlineStr">
        <is>
          <t>BANDERAS DEL COMPRADOR Y DEL PROVEEDOR</t>
        </is>
      </c>
    </row>
    <row r="18" ht="34" customHeight="1">
      <c r="A18" s="3" t="inlineStr"/>
      <c r="B18" s="3" t="inlineStr">
        <is>
          <t>Bandera</t>
        </is>
      </c>
      <c r="C18" s="3" t="inlineStr">
        <is>
          <t>Efecto</t>
        </is>
      </c>
      <c r="D18" s="3" t="inlineStr">
        <is>
          <t>Regla</t>
        </is>
      </c>
    </row>
    <row r="19">
      <c r="B19" s="11" t="inlineStr">
        <is>
          <t>Comprador agente de retefuente</t>
        </is>
      </c>
      <c r="C19" s="15" t="inlineStr">
        <is>
          <t>Aplica RF</t>
        </is>
      </c>
      <c r="D19" s="13" t="inlineStr">
        <is>
          <t>Si no es agente, no practica retención.</t>
        </is>
      </c>
    </row>
    <row r="20">
      <c r="B20" s="11" t="inlineStr">
        <is>
          <t>Comprador agente de reteIVA</t>
        </is>
      </c>
      <c r="C20" s="15" t="inlineStr">
        <is>
          <t>Aplica 15% del IVA</t>
        </is>
      </c>
      <c r="D20" s="13" t="inlineStr">
        <is>
          <t>No todos los agentes de RF son agentes de reteIVA.</t>
        </is>
      </c>
    </row>
    <row r="21">
      <c r="B21" s="11" t="inlineStr">
        <is>
          <t>Comprador agente de reteICA</t>
        </is>
      </c>
      <c r="C21" s="15" t="inlineStr">
        <is>
          <t>Aplica tarifa municipal</t>
        </is>
      </c>
      <c r="D21" s="13" t="inlineStr">
        <is>
          <t>Depende del municipio y de la designación.</t>
        </is>
      </c>
    </row>
    <row r="22">
      <c r="B22" s="11" t="inlineStr">
        <is>
          <t>Proveedor declarante</t>
        </is>
      </c>
      <c r="C22" s="15" t="inlineStr">
        <is>
          <t>Tarifa general</t>
        </is>
      </c>
      <c r="D22" s="13" t="inlineStr">
        <is>
          <t>Persona jurídica o natural obligada a declarar.</t>
        </is>
      </c>
    </row>
    <row r="23">
      <c r="B23" s="11" t="inlineStr">
        <is>
          <t>Proveedor no declarante</t>
        </is>
      </c>
      <c r="C23" s="15" t="inlineStr">
        <is>
          <t>Tarifa incrementada</t>
        </is>
      </c>
      <c r="D23" s="13" t="inlineStr">
        <is>
          <t>Se debe documentar la condición.</t>
        </is>
      </c>
    </row>
    <row r="24">
      <c r="B24" s="11" t="inlineStr">
        <is>
          <t>Proveedor SIMPLE</t>
        </is>
      </c>
      <c r="C24" s="15" t="inlineStr">
        <is>
          <t>No RF / no ICA</t>
        </is>
      </c>
      <c r="D24" s="13" t="inlineStr">
        <is>
          <t>Art. 911 ET; revisar excepciones.</t>
        </is>
      </c>
    </row>
    <row r="25">
      <c r="B25" s="11" t="inlineStr">
        <is>
          <t>Proveedor autorretenedor</t>
        </is>
      </c>
      <c r="C25" s="15" t="inlineStr">
        <is>
          <t>No RF del comprador</t>
        </is>
      </c>
      <c r="D25" s="13" t="inlineStr">
        <is>
          <t>El proveedor se autorretiene; el comprador puede practicar reteIVA.</t>
        </is>
      </c>
    </row>
    <row r="28" ht="34" customHeight="1">
      <c r="A28" s="18" t="inlineStr">
        <is>
          <t>Fuentes de referencia: Estatuto Tributario arts. 381, 437-1, 462-1 y 911; Decreto 572 de 2025; Auto 30229 de 2026; tabla municipal de ICA. La tabla oficial y la norma vigente prevalecen.</t>
        </is>
      </c>
    </row>
  </sheetData>
  <mergeCells count="5">
    <mergeCell ref="A17:D17"/>
    <mergeCell ref="A2:U2"/>
    <mergeCell ref="A4:D4"/>
    <mergeCell ref="A1:U1"/>
    <mergeCell ref="A28:D28"/>
  </mergeCell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A7F8F"/>
    <outlinePr summaryBelow="1" summaryRight="1"/>
    <pageSetUpPr fitToPage="1"/>
  </sheetPr>
  <dimension ref="A1:U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34" customWidth="1" min="3" max="3"/>
    <col width="34" customWidth="1" min="4" max="4"/>
    <col width="34" customWidth="1" min="5" max="5"/>
    <col width="34" customWidth="1" min="6" max="6"/>
    <col width="14" customWidth="1" min="7" max="7"/>
  </cols>
  <sheetData>
    <row r="1" ht="38" customHeight="1">
      <c r="A1" s="1" t="inlineStr">
        <is>
          <t>Checklist de revisión</t>
        </is>
      </c>
    </row>
    <row r="2" ht="28" customHeight="1">
      <c r="A2" s="2" t="inlineStr">
        <is>
          <t>Marca cada caso cuando hayas validado cálculo, asiento, documentos y errores.</t>
        </is>
      </c>
    </row>
    <row r="4" ht="34" customHeight="1">
      <c r="A4" s="3" t="inlineStr">
        <is>
          <t>#</t>
        </is>
      </c>
      <c r="B4" s="3" t="inlineStr">
        <is>
          <t>Caso</t>
        </is>
      </c>
      <c r="C4" s="3" t="inlineStr">
        <is>
          <t>Cálculo</t>
        </is>
      </c>
      <c r="D4" s="3" t="inlineStr">
        <is>
          <t>Asiento</t>
        </is>
      </c>
      <c r="E4" s="3" t="inlineStr">
        <is>
          <t>Documentos</t>
        </is>
      </c>
      <c r="F4" s="3" t="inlineStr">
        <is>
          <t>Errores a evitar</t>
        </is>
      </c>
      <c r="G4" s="3" t="inlineStr">
        <is>
          <t>Estado</t>
        </is>
      </c>
    </row>
    <row r="5">
      <c r="A5" s="4" t="n">
        <v>1</v>
      </c>
      <c r="B5" s="4" t="inlineStr">
        <is>
          <t>Servicio general, proveedor declarante, comprador SAS normal</t>
        </is>
      </c>
      <c r="C5" s="4" t="inlineStr">
        <is>
          <t>Base 2,000,000 + IVA 380,000.00; RF 80,000.00; RIVA 0.00; RICA 0.00.</t>
        </is>
      </c>
      <c r="D5" s="4" t="inlineStr">
        <is>
          <t>D 5135 / D 240805 / C 220505; pago C 236525</t>
        </is>
      </c>
      <c r="E5" s="4" t="inlineStr">
        <is>
          <t>Factura, certificado RF, comprobante, Formulario 350</t>
        </is>
      </c>
      <c r="F5" s="4" t="inlineStr">
        <is>
          <t>No calcular RF sobre el total; no practicar RIVA sin ser agente</t>
        </is>
      </c>
      <c r="G5" s="4" t="inlineStr">
        <is>
          <t>Pendiente</t>
        </is>
      </c>
    </row>
    <row r="6">
      <c r="A6" s="4" t="n">
        <v>2</v>
      </c>
      <c r="B6" s="4" t="inlineStr">
        <is>
          <t>Servicio general, proveedor no declarante</t>
        </is>
      </c>
      <c r="C6" s="4" t="inlineStr">
        <is>
          <t>Base 500,000 + IVA 95,000.00; RF 30,000.00; RIVA 0.00; RICA 0.00.</t>
        </is>
      </c>
      <c r="D6" s="4" t="inlineStr">
        <is>
          <t>D 5135 / D 240805 / C 220505; pago C 236525</t>
        </is>
      </c>
      <c r="E6" s="4" t="inlineStr">
        <is>
          <t>RUT, certificación de no declarante, factura, certificado RF, Formulario 350</t>
        </is>
      </c>
      <c r="F6" s="4" t="inlineStr">
        <is>
          <t>Aplicar 4% en lugar de 6%; no documentar la condición de no declarante</t>
        </is>
      </c>
      <c r="G6" s="4" t="inlineStr">
        <is>
          <t>Pendiente</t>
        </is>
      </c>
    </row>
    <row r="7">
      <c r="A7" s="4" t="n">
        <v>3</v>
      </c>
      <c r="B7" s="4" t="inlineStr">
        <is>
          <t>Servicio por debajo del mínimo</t>
        </is>
      </c>
      <c r="C7" s="4" t="inlineStr">
        <is>
          <t>Base 90,000 + IVA 17,100.00; RF 0.00; RIVA 0.00; RICA 0.00.</t>
        </is>
      </c>
      <c r="D7" s="4" t="inlineStr">
        <is>
          <t>D 5135 / D 240805 / C 111005 (o proveedores)</t>
        </is>
      </c>
      <c r="E7" s="4" t="inlineStr">
        <is>
          <t>Factura y comprobante de pago; no hay certificado de retención</t>
        </is>
      </c>
      <c r="F7" s="4" t="inlineStr">
        <is>
          <t>Retener sobre $90.000; aplicar reteIVA sin verificar el mínimo; fragmentar la operación</t>
        </is>
      </c>
      <c r="G7" s="4" t="inlineStr">
        <is>
          <t>Pendiente</t>
        </is>
      </c>
    </row>
    <row r="8">
      <c r="A8" s="4" t="n">
        <v>4</v>
      </c>
      <c r="B8" s="4" t="inlineStr">
        <is>
          <t>Base exactamente en 2 UVT</t>
        </is>
      </c>
      <c r="C8" s="4" t="inlineStr">
        <is>
          <t>Base 104,748 + IVA 19,902.12; RF 4,189.92; RIVA 2,985.32; RICA 0.00.</t>
        </is>
      </c>
      <c r="D8" s="4" t="inlineStr">
        <is>
          <t>D 5135 / D 240805 / C 220505; pago C 236525 / C 236701</t>
        </is>
      </c>
      <c r="E8" s="4" t="inlineStr">
        <is>
          <t>Factura, certificado RF, certificado reteIVA, comprobante, Formulario 350</t>
        </is>
      </c>
      <c r="F8" s="4" t="inlineStr">
        <is>
          <t>Redondear de forma inconsistente; no definir política de redondeo</t>
        </is>
      </c>
      <c r="G8" s="4" t="inlineStr">
        <is>
          <t>Pendiente</t>
        </is>
      </c>
    </row>
    <row r="9">
      <c r="A9" s="4" t="n">
        <v>5</v>
      </c>
      <c r="B9" s="4" t="inlineStr">
        <is>
          <t>Honorarios, persona jurídica</t>
        </is>
      </c>
      <c r="C9" s="4" t="inlineStr">
        <is>
          <t>Base 3,000,000 + IVA 570,000.00; RF 330,000.00; RIVA 85,500.00; RICA 0.00.</t>
        </is>
      </c>
      <c r="D9" s="4" t="inlineStr">
        <is>
          <t>D 5110 / D 240805 / C 220505; pago C 236515 / C 236701</t>
        </is>
      </c>
      <c r="E9" s="4" t="inlineStr">
        <is>
          <t>Factura, certificado RF, certificado reteIVA, comprobante, Formulario 350</t>
        </is>
      </c>
      <c r="F9" s="4" t="inlineStr">
        <is>
          <t>Usar 4% de servicios generales; olvidar reteIVA</t>
        </is>
      </c>
      <c r="G9" s="4" t="inlineStr">
        <is>
          <t>Pendiente</t>
        </is>
      </c>
    </row>
    <row r="10">
      <c r="A10" s="4" t="n">
        <v>6</v>
      </c>
      <c r="B10" s="4" t="inlineStr">
        <is>
          <t>Honorarios, persona natural no declarante</t>
        </is>
      </c>
      <c r="C10" s="4" t="inlineStr">
        <is>
          <t>Base 800,000 + IVA 152,000.00; RF 80,000.00; RIVA 0.00; RICA 0.00.</t>
        </is>
      </c>
      <c r="D10" s="4" t="inlineStr">
        <is>
          <t>D 5110 / D 240805 / C 220505; pago C 236515</t>
        </is>
      </c>
      <c r="E10" s="4" t="inlineStr">
        <is>
          <t>RUT, certificación de no declarante, factura, certificado RF, Formulario 350</t>
        </is>
      </c>
      <c r="F10" s="4" t="inlineStr">
        <is>
          <t>Aplicar 11%; practicar reteIVA sin ser agente</t>
        </is>
      </c>
      <c r="G10" s="4" t="inlineStr">
        <is>
          <t>Pendiente</t>
        </is>
      </c>
    </row>
    <row r="11">
      <c r="A11" s="4" t="n">
        <v>7</v>
      </c>
      <c r="B11" s="4" t="inlineStr">
        <is>
          <t>Arrendamiento de vivienda</t>
        </is>
      </c>
      <c r="C11" s="4" t="inlineStr">
        <is>
          <t>Base 1,200,000 + IVA 0.00; RF 42,000.00; RIVA 0.00; RICA 0.00.</t>
        </is>
      </c>
      <c r="D11" s="4" t="inlineStr">
        <is>
          <t>D 5120 / C 220505; pago C 236530</t>
        </is>
      </c>
      <c r="E11" s="4" t="inlineStr">
        <is>
          <t>Contrato, factura o documento equivalente, certificado RF, comprobante</t>
        </is>
      </c>
      <c r="F11" s="4" t="inlineStr">
        <is>
          <t>Cobrar IVA a vivienda; aplicar reteIVA sin IVA; olvidar el mínimo de 10 UVT</t>
        </is>
      </c>
      <c r="G11" s="4" t="inlineStr">
        <is>
          <t>Pendiente</t>
        </is>
      </c>
    </row>
    <row r="12">
      <c r="A12" s="4" t="n">
        <v>8</v>
      </c>
      <c r="B12" s="4" t="inlineStr">
        <is>
          <t>Compra de mercancía, proveedor declarante</t>
        </is>
      </c>
      <c r="C12" s="4" t="inlineStr">
        <is>
          <t>Base 4,000,000 + IVA 760,000.00; RF 100,000.00; RIVA 114,000.00; RICA 0.00.</t>
        </is>
      </c>
      <c r="D12" s="4" t="inlineStr">
        <is>
          <t>D 1435 / D 240805 / C 220505; pago C 236540 / C 236701</t>
        </is>
      </c>
      <c r="E12" s="4" t="inlineStr">
        <is>
          <t>Factura, certificado RF, certificado reteIVA, comprobante, Formulario 350</t>
        </is>
      </c>
      <c r="F12" s="4" t="inlineStr">
        <is>
          <t>Calcular RF sobre el total con IVA; olvidar el mínimo de 10 UVT</t>
        </is>
      </c>
      <c r="G12" s="4" t="inlineStr">
        <is>
          <t>Pendiente</t>
        </is>
      </c>
    </row>
    <row r="13">
      <c r="A13" s="4" t="n">
        <v>9</v>
      </c>
      <c r="B13" s="4" t="inlineStr">
        <is>
          <t>Compra de mercancía, proveedor no declarante</t>
        </is>
      </c>
      <c r="C13" s="4" t="inlineStr">
        <is>
          <t>Base 1,000,000 + IVA 190,000.00; RF 35,000.00; RIVA 0.00; RICA 0.00.</t>
        </is>
      </c>
      <c r="D13" s="4" t="inlineStr">
        <is>
          <t>D 1435 / D 240805 / C 220505; pago C 236540</t>
        </is>
      </c>
      <c r="E13" s="4" t="inlineStr">
        <is>
          <t>RUT, certificación de no declarante, factura, certificado RF, Formulario 350</t>
        </is>
      </c>
      <c r="F13" s="4" t="inlineStr">
        <is>
          <t>Aplicar 2,5%; no documentar la condición de no declarante</t>
        </is>
      </c>
      <c r="G13" s="4" t="inlineStr">
        <is>
          <t>Pendiente</t>
        </is>
      </c>
    </row>
    <row r="14">
      <c r="A14" s="4" t="n">
        <v>10</v>
      </c>
      <c r="B14" s="4" t="inlineStr">
        <is>
          <t>Gran contribuyente, servicio</t>
        </is>
      </c>
      <c r="C14" s="4" t="inlineStr">
        <is>
          <t>Base 5,000,000 + IVA 950,000.00; RF 200,000.00; RIVA 142,500.00; RICA 0.00.</t>
        </is>
      </c>
      <c r="D14" s="4" t="inlineStr">
        <is>
          <t>D 5135 / D 240805 / C 220505; pago C 236525 / C 236701</t>
        </is>
      </c>
      <c r="E14" s="4" t="inlineStr">
        <is>
          <t>Factura, certificado RF, certificado reteIVA, comprobante, Formulario 350</t>
        </is>
      </c>
      <c r="F14" s="4" t="inlineStr">
        <is>
          <t>Olvidar reteIVA por ser gran contribuyente; calcular sobre el total</t>
        </is>
      </c>
      <c r="G14" s="4" t="inlineStr">
        <is>
          <t>Pendiente</t>
        </is>
      </c>
    </row>
    <row r="15">
      <c r="A15" s="4" t="n">
        <v>11</v>
      </c>
      <c r="B15" s="4" t="inlineStr">
        <is>
          <t>ReteICA en Bogotá</t>
        </is>
      </c>
      <c r="C15" s="4" t="inlineStr">
        <is>
          <t>Base 2,000,000 + IVA 380,000.00; RF 80,000.00; RIVA 0.00; RICA 19,320.00.</t>
        </is>
      </c>
      <c r="D15" s="4" t="inlineStr">
        <is>
          <t>D 5135 / D 240805 / C 220505; pago C 236525 / C 2368</t>
        </is>
      </c>
      <c r="E15" s="4" t="inlineStr">
        <is>
          <t>Factura, certificado RF, certificado reteICA, comprobante, Formulario 350</t>
        </is>
      </c>
      <c r="F15" s="4" t="inlineStr">
        <is>
          <t>Usar una tarifa de ICA de otra ciudad; no verificar la calidad de agente municipal</t>
        </is>
      </c>
      <c r="G15" s="4" t="inlineStr">
        <is>
          <t>Pendiente</t>
        </is>
      </c>
    </row>
    <row r="16">
      <c r="A16" s="4" t="n">
        <v>12</v>
      </c>
      <c r="B16" s="4" t="inlineStr">
        <is>
          <t>Proveedor SIMPLE</t>
        </is>
      </c>
      <c r="C16" s="4" t="inlineStr">
        <is>
          <t>Base 1,000,000 + IVA 190,000.00; RF 0.00; RIVA 28,500.00; RICA 0.00.</t>
        </is>
      </c>
      <c r="D16" s="4" t="inlineStr">
        <is>
          <t>D 5135 / D 240805 / C 220505; pago C 236701</t>
        </is>
      </c>
      <c r="E16" s="4" t="inlineStr">
        <is>
          <t>Factura, certificado reteIVA, comprobante; no certificado de RF</t>
        </is>
      </c>
      <c r="F16" s="4" t="inlineStr">
        <is>
          <t>Practicar retefuente a un proveedor SIMPLE; olvidar reteIVA</t>
        </is>
      </c>
      <c r="G16" s="4" t="inlineStr">
        <is>
          <t>Pendiente</t>
        </is>
      </c>
    </row>
    <row r="17">
      <c r="A17" s="4" t="n">
        <v>13</v>
      </c>
      <c r="B17" s="4" t="inlineStr">
        <is>
          <t>Proveedor autorretenedor</t>
        </is>
      </c>
      <c r="C17" s="4" t="inlineStr">
        <is>
          <t>Base 1,000,000 + IVA 190,000.00; RF 0.00; RIVA 28,500.00; RICA 0.00.</t>
        </is>
      </c>
      <c r="D17" s="4" t="inlineStr">
        <is>
          <t>D 5135 / D 240805 / C 220505; pago C 236701</t>
        </is>
      </c>
      <c r="E17" s="4" t="inlineStr">
        <is>
          <t>Factura, certificado de autorretención, certificado reteIVA, comprobante</t>
        </is>
      </c>
      <c r="F17" s="4" t="inlineStr">
        <is>
          <t>Practicar retefuente; no verificar la autorización de autorretención</t>
        </is>
      </c>
      <c r="G17" s="4" t="inlineStr">
        <is>
          <t>Pendiente</t>
        </is>
      </c>
    </row>
    <row r="18">
      <c r="A18" s="4" t="n">
        <v>14</v>
      </c>
      <c r="B18" s="4" t="inlineStr">
        <is>
          <t>Factura con IVA incluido</t>
        </is>
      </c>
      <c r="C18" s="4" t="inlineStr">
        <is>
          <t>Base 1,000,000 + IVA 190,000.00; RF 40,000.00; RIVA 0.00; RICA 0.00.</t>
        </is>
      </c>
      <c r="D18" s="4" t="inlineStr">
        <is>
          <t>D 5135 / D 240805 / C 220505; pago C 236525</t>
        </is>
      </c>
      <c r="E18" s="4" t="inlineStr">
        <is>
          <t>Factura con IVA incluido, certificado RF, comprobante</t>
        </is>
      </c>
      <c r="F18" s="4" t="inlineStr">
        <is>
          <t>Calcular la base sobre $1.190.000; no separar el IVA</t>
        </is>
      </c>
      <c r="G18" s="4" t="inlineStr">
        <is>
          <t>Pendiente</t>
        </is>
      </c>
    </row>
    <row r="19">
      <c r="A19" s="4" t="n">
        <v>15</v>
      </c>
      <c r="B19" s="4" t="inlineStr">
        <is>
          <t>Pago parcial</t>
        </is>
      </c>
      <c r="C19" s="4" t="inlineStr">
        <is>
          <t>Base 1,000,000 + IVA 190,000.00; RF 40,000.00; RIVA 28,500.00; RICA 0.00.</t>
        </is>
      </c>
      <c r="D19" s="4" t="inlineStr">
        <is>
          <t>D 5135 / D 240805 / C 220505; pago 50%: C 236525 / C 236701 / C 111005</t>
        </is>
      </c>
      <c r="E19" s="4" t="inlineStr">
        <is>
          <t>Factura, certificados de retención del pago, comprobante</t>
        </is>
      </c>
      <c r="F19" s="4" t="inlineStr">
        <is>
          <t>Retener sobre el total cuando solo se paga el 50%; olvidar el saldo</t>
        </is>
      </c>
      <c r="G19" s="4" t="inlineStr">
        <is>
          <t>Pendiente</t>
        </is>
      </c>
    </row>
    <row r="20">
      <c r="A20" s="4" t="n">
        <v>16</v>
      </c>
      <c r="B20" s="4" t="inlineStr">
        <is>
          <t>Nota crédito antes del pago</t>
        </is>
      </c>
      <c r="C20" s="4" t="inlineStr">
        <is>
          <t>Base 1,000,000 + IVA 190,000.00; RF 40,000.00; RIVA 0.00; RICA 0.00.</t>
        </is>
      </c>
      <c r="D20" s="4" t="inlineStr">
        <is>
          <t>D 5135 / D 240805 / C 220505; NC 50%; pago C 236525</t>
        </is>
      </c>
      <c r="E20" s="4" t="inlineStr">
        <is>
          <t>Factura original, nota crédito, certificado RF sobre el saldo, comprobante</t>
        </is>
      </c>
      <c r="F20" s="4" t="inlineStr">
        <is>
          <t>Retener sobre la factura original completa; no reversar la retención de la nota crédito</t>
        </is>
      </c>
      <c r="G20" s="4" t="inlineStr">
        <is>
          <t>Pendiente</t>
        </is>
      </c>
    </row>
  </sheetData>
  <autoFilter ref="A4:G20"/>
  <mergeCells count="2">
    <mergeCell ref="A1:U1"/>
    <mergeCell ref="A2:U2"/>
  </mergeCells>
  <dataValidations count="1">
    <dataValidation sqref="G5:G20" showDropDown="0" showInputMessage="0" showErrorMessage="0" allowBlank="1" type="list">
      <formula1>"Pendiente,Revisado,Con error"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U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80" customWidth="1" min="3" max="3"/>
  </cols>
  <sheetData>
    <row r="1" ht="38" customHeight="1">
      <c r="A1" s="1" t="inlineStr">
        <is>
          <t>Fuentes y alcance</t>
        </is>
      </c>
    </row>
    <row r="2" ht="28" customHeight="1">
      <c r="A2" s="2" t="inlineStr">
        <is>
          <t>Documentación de referencia del proyecto.</t>
        </is>
      </c>
    </row>
    <row r="4" ht="24" customHeight="1">
      <c r="A4" s="10" t="inlineStr">
        <is>
          <t>FUENTES</t>
        </is>
      </c>
    </row>
    <row r="5" ht="34" customHeight="1">
      <c r="B5" s="11" t="inlineStr">
        <is>
          <t>Estatuto Tributario</t>
        </is>
      </c>
      <c r="C5" s="19" t="inlineStr">
        <is>
          <t>Arts. 381 (certificado de retención), 437-1 (IVA), 462-1 (reteIVA), 911 (SIMPLE).</t>
        </is>
      </c>
    </row>
    <row r="6" ht="34" customHeight="1">
      <c r="B6" s="11" t="inlineStr">
        <is>
          <t>Decreto 572 de 2025</t>
        </is>
      </c>
      <c r="C6" s="19" t="inlineStr">
        <is>
          <t>Modificaciones a retenciones; base mínima de servicios de 2 UVT.</t>
        </is>
      </c>
    </row>
    <row r="7" ht="34" customHeight="1">
      <c r="B7" s="11" t="inlineStr">
        <is>
          <t>Auto 30229 de 2026</t>
        </is>
      </c>
      <c r="C7" s="19" t="inlineStr">
        <is>
          <t>Decisión del Consejo de Estado sobre la suspensión y vigencia.</t>
        </is>
      </c>
    </row>
    <row r="8" ht="34" customHeight="1">
      <c r="B8" s="11" t="inlineStr">
        <is>
          <t>UVT 2026</t>
        </is>
      </c>
      <c r="C8" s="19" t="inlineStr">
        <is>
          <t>$52.374; 2 UVT = $104.748; 10 UVT = $523.740.</t>
        </is>
      </c>
    </row>
    <row r="9" ht="34" customHeight="1">
      <c r="B9" s="11" t="inlineStr">
        <is>
          <t>Tabla municipal de ICA</t>
        </is>
      </c>
      <c r="C9" s="19" t="inlineStr">
        <is>
          <t>Tarifas y mínimos por municipio; el caso 11 usa 0,966% de Bogotá como ejemplo.</t>
        </is>
      </c>
    </row>
    <row r="12" ht="24" customHeight="1">
      <c r="A12" s="10" t="inlineStr">
        <is>
          <t>ALCANCE Y LÍMITES</t>
        </is>
      </c>
    </row>
    <row r="13" ht="28" customHeight="1">
      <c r="B13" s="20" t="inlineStr">
        <is>
          <t>• Casos educativos con datos ficticios.</t>
        </is>
      </c>
    </row>
    <row r="14" ht="28" customHeight="1">
      <c r="B14" s="20" t="inlineStr">
        <is>
          <t>• No incluye renta, nómina, pagos al exterior, AIU especial, prorrata de IVA ni moneda extranjera.</t>
        </is>
      </c>
    </row>
    <row r="15" ht="28" customHeight="1">
      <c r="B15" s="20" t="inlineStr">
        <is>
          <t>• No reemplaza la revisión de un contador ni la consulta de la norma vigente.</t>
        </is>
      </c>
    </row>
    <row r="16" ht="28" customHeight="1">
      <c r="B16" s="20" t="inlineStr">
        <is>
          <t>• Las tarifas y mínimos deben validarse contra el RUT, el concepto, el municipio y la fecha de la operación.</t>
        </is>
      </c>
    </row>
  </sheetData>
  <mergeCells count="8">
    <mergeCell ref="B13:C13"/>
    <mergeCell ref="A4:C4"/>
    <mergeCell ref="B16:C16"/>
    <mergeCell ref="B15:C15"/>
    <mergeCell ref="A2:U2"/>
    <mergeCell ref="B14:C14"/>
    <mergeCell ref="A12:C12"/>
    <mergeCell ref="A1:U1"/>
  </mergeCell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Kelvis Samir Copete Córdoba</dc:creator>
  <dc:title xmlns:dc="http://purl.org/dc/elements/1.1/">Liquidador de retenciones Colombia 2026 — 16 casos de control</dc:title>
  <dc:subject xmlns:dc="http://purl.org/dc/elements/1.1/">Tabla de control de retenciones: retefuente, reteIVA y reteICA</dc:subject>
  <dcterms:created xmlns:dcterms="http://purl.org/dc/terms/" xmlns:xsi="http://www.w3.org/2001/XMLSchema-instance" xsi:type="dcterms:W3CDTF">2026-10-27T20:29:34Z</dcterms:created>
  <dcterms:modified xmlns:dcterms="http://purl.org/dc/terms/" xmlns:xsi="http://www.w3.org/2001/XMLSchema-instance" xsi:type="dcterms:W3CDTF">2026-10-27T20:29:34Z</dcterms:modified>
</cp:coreProperties>
</file>